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chenxin\CVRPLIB-2025\all_in_one\SISR\"/>
    </mc:Choice>
  </mc:AlternateContent>
  <xr:revisionPtr revIDLastSave="0" documentId="13_ncr:1_{53648C07-820F-47E5-BC04-B4C792B1AF4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3" i="1"/>
  <c r="C4" i="1"/>
  <c r="C5" i="1"/>
  <c r="C6" i="1"/>
  <c r="C7" i="1"/>
  <c r="C8" i="1"/>
  <c r="C9" i="1"/>
  <c r="C10" i="1"/>
  <c r="C11" i="1"/>
  <c r="C12" i="1"/>
  <c r="C13" i="1"/>
  <c r="C2" i="1"/>
  <c r="C15" i="1" s="1"/>
  <c r="B15" i="1"/>
</calcChain>
</file>

<file path=xl/sharedStrings.xml><?xml version="1.0" encoding="utf-8"?>
<sst xmlns="http://schemas.openxmlformats.org/spreadsheetml/2006/main" count="43" uniqueCount="34">
  <si>
    <t>IP</t>
    <phoneticPr fontId="1" type="noConversion"/>
  </si>
  <si>
    <t>核数</t>
    <phoneticPr fontId="1" type="noConversion"/>
  </si>
  <si>
    <t>10.90.91.231</t>
    <phoneticPr fontId="1" type="noConversion"/>
  </si>
  <si>
    <t>10.90.91.100</t>
    <phoneticPr fontId="1" type="noConversion"/>
  </si>
  <si>
    <t>10.90.91.101</t>
    <phoneticPr fontId="1" type="noConversion"/>
  </si>
  <si>
    <t>10.90.91.124</t>
  </si>
  <si>
    <t>10.90.91.125</t>
  </si>
  <si>
    <t>10.90.91.126</t>
  </si>
  <si>
    <t>10.90.91.127</t>
  </si>
  <si>
    <t>10.90.91.163</t>
    <phoneticPr fontId="1" type="noConversion"/>
  </si>
  <si>
    <t>10.90.91.167</t>
    <phoneticPr fontId="1" type="noConversion"/>
  </si>
  <si>
    <t>10.90.91.49</t>
    <phoneticPr fontId="1" type="noConversion"/>
  </si>
  <si>
    <t>10.90.91.51</t>
    <phoneticPr fontId="1" type="noConversion"/>
  </si>
  <si>
    <t>10.90.91.232</t>
    <phoneticPr fontId="1" type="noConversion"/>
  </si>
  <si>
    <t>Step 1: 运行以下代码，并上传instances.zip到该路径</t>
    <phoneticPr fontId="1" type="noConversion"/>
  </si>
  <si>
    <t>Step 2: 运行以下代码，开始计算（两个参数分别为instances的开始和结束index）</t>
    <phoneticPr fontId="1" type="noConversion"/>
  </si>
  <si>
    <t>可运行实例数（核数 * 0.7 // 12）</t>
    <phoneticPr fontId="1" type="noConversion"/>
  </si>
  <si>
    <t>bash main.sh 0 3</t>
    <phoneticPr fontId="1" type="noConversion"/>
  </si>
  <si>
    <t>bash main.sh 3 9</t>
    <phoneticPr fontId="1" type="noConversion"/>
  </si>
  <si>
    <t>bash main.sh 9 15</t>
    <phoneticPr fontId="1" type="noConversion"/>
  </si>
  <si>
    <t>bash main.sh 15 21</t>
    <phoneticPr fontId="1" type="noConversion"/>
  </si>
  <si>
    <t>bash main.sh 21 27</t>
    <phoneticPr fontId="1" type="noConversion"/>
  </si>
  <si>
    <t>bash main.sh 78 100</t>
    <phoneticPr fontId="1" type="noConversion"/>
  </si>
  <si>
    <t>bash main.sh 56 78</t>
    <phoneticPr fontId="1" type="noConversion"/>
  </si>
  <si>
    <t>bash main.sh 49 56</t>
    <phoneticPr fontId="1" type="noConversion"/>
  </si>
  <si>
    <t>bash main.sh 42 49</t>
    <phoneticPr fontId="1" type="noConversion"/>
  </si>
  <si>
    <t>bash main.sh 37 42</t>
    <phoneticPr fontId="1" type="noConversion"/>
  </si>
  <si>
    <t>bash main.sh 32 37</t>
    <phoneticPr fontId="1" type="noConversion"/>
  </si>
  <si>
    <t>bash main.sh 27 32</t>
    <phoneticPr fontId="1" type="noConversion"/>
  </si>
  <si>
    <t>实际运行实例数</t>
    <phoneticPr fontId="1" type="noConversion"/>
  </si>
  <si>
    <t>instances.zip: 只包含100个*.vrp文件 (不要放到instances文件夹中)</t>
    <phoneticPr fontId="1" type="noConversion"/>
  </si>
  <si>
    <t>cd /home/ei/workspace/cvrp_com_hyb/Competition_Deploy_Hybird/all_in_one/SISR/</t>
    <phoneticPr fontId="1" type="noConversion"/>
  </si>
  <si>
    <t>bash
cd /home/cvrp/cvrp_com_hyb/Competition_Deploy_Hybird/all_in_one/SISR/</t>
    <phoneticPr fontId="1" type="noConversion"/>
  </si>
  <si>
    <t>cd /home/ei/workspace/cvrp_com_hyb/CVRPLIB-2025-all-in-one/all_in_one/SISR/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</si>
</sst>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.8000000000000007"/>
      <color rgb="FF6A8759"/>
      <name val="JetBrains Mono"/>
      <family val="3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1" sqref="A11"/>
    </sheetView>
  </sheetViews>
  <sheetFormatPr defaultColWidth="9" defaultRowHeight="13.5"/>
  <cols>
    <col min="1" max="1" width="15.53125" customWidth="1"/>
    <col min="3" max="3" width="31.9296875" customWidth="1"/>
    <col min="4" max="4" width="85.73046875" customWidth="1"/>
    <col min="5" max="5" width="73.33203125" customWidth="1"/>
    <col min="6" max="6" width="14.73046875" customWidth="1"/>
  </cols>
  <sheetData>
    <row r="1" spans="1:6">
      <c r="A1" s="1" t="s">
        <v>0</v>
      </c>
      <c r="B1" s="1" t="s">
        <v>1</v>
      </c>
      <c r="C1" s="1" t="s">
        <v>16</v>
      </c>
      <c r="D1" s="1" t="s">
        <v>14</v>
      </c>
      <c r="E1" s="1" t="s">
        <v>15</v>
      </c>
      <c r="F1" s="1" t="s">
        <v>29</v>
      </c>
    </row>
    <row r="2" spans="1:6">
      <c r="A2" s="1" t="s">
        <v>3</v>
      </c>
      <c r="B2" s="2">
        <v>64</v>
      </c>
      <c r="C2" s="2">
        <f>INT(B2 * 0.7 / 12)</f>
        <v>3</v>
      </c>
      <c r="D2" s="4" t="s">
        <v>31</v>
      </c>
      <c r="E2" s="4" t="s">
        <v>17</v>
      </c>
      <c r="F2" s="2">
        <v>3</v>
      </c>
    </row>
    <row r="3" spans="1:6">
      <c r="A3" s="5" t="s">
        <v>4</v>
      </c>
      <c r="B3" s="2">
        <v>112</v>
      </c>
      <c r="C3" s="2">
        <f t="shared" ref="C3:C13" si="0">INT(B3 * 0.7 / 12)</f>
        <v>6</v>
      </c>
      <c r="D3" s="4" t="s">
        <v>31</v>
      </c>
      <c r="E3" s="4" t="s">
        <v>18</v>
      </c>
      <c r="F3" s="2">
        <v>6</v>
      </c>
    </row>
    <row r="4" spans="1:6">
      <c r="A4" s="5" t="s">
        <v>5</v>
      </c>
      <c r="B4" s="2">
        <v>112</v>
      </c>
      <c r="C4" s="2">
        <f t="shared" si="0"/>
        <v>6</v>
      </c>
      <c r="D4" s="4" t="s">
        <v>33</v>
      </c>
      <c r="E4" s="4" t="s">
        <v>19</v>
      </c>
      <c r="F4" s="2">
        <v>6</v>
      </c>
    </row>
    <row r="5" spans="1:6">
      <c r="A5" s="5" t="s">
        <v>6</v>
      </c>
      <c r="B5" s="2">
        <v>112</v>
      </c>
      <c r="C5" s="2">
        <f t="shared" si="0"/>
        <v>6</v>
      </c>
      <c r="D5" s="4" t="s">
        <v>31</v>
      </c>
      <c r="E5" s="3" t="s">
        <v>20</v>
      </c>
      <c r="F5" s="2">
        <v>6</v>
      </c>
    </row>
    <row r="6" spans="1:6">
      <c r="A6" s="5" t="s">
        <v>7</v>
      </c>
      <c r="B6" s="2">
        <v>112</v>
      </c>
      <c r="C6" s="2">
        <f t="shared" si="0"/>
        <v>6</v>
      </c>
      <c r="D6" s="4" t="s">
        <v>31</v>
      </c>
      <c r="E6" s="3" t="s">
        <v>21</v>
      </c>
      <c r="F6" s="2">
        <v>6</v>
      </c>
    </row>
    <row r="7" spans="1:6">
      <c r="A7" s="5" t="s">
        <v>8</v>
      </c>
      <c r="B7" s="2">
        <v>112</v>
      </c>
      <c r="C7" s="2">
        <f t="shared" si="0"/>
        <v>6</v>
      </c>
      <c r="D7" s="4" t="s">
        <v>31</v>
      </c>
      <c r="E7" s="3" t="s">
        <v>28</v>
      </c>
      <c r="F7" s="2">
        <v>5</v>
      </c>
    </row>
    <row r="8" spans="1:6">
      <c r="A8" s="5" t="s">
        <v>9</v>
      </c>
      <c r="B8" s="2">
        <v>112</v>
      </c>
      <c r="C8" s="2">
        <f t="shared" si="0"/>
        <v>6</v>
      </c>
      <c r="D8" s="4" t="s">
        <v>31</v>
      </c>
      <c r="E8" s="3" t="s">
        <v>27</v>
      </c>
      <c r="F8" s="2">
        <v>5</v>
      </c>
    </row>
    <row r="9" spans="1:6">
      <c r="A9" s="1" t="s">
        <v>10</v>
      </c>
      <c r="B9" s="2">
        <v>112</v>
      </c>
      <c r="C9" s="2">
        <f t="shared" si="0"/>
        <v>6</v>
      </c>
      <c r="D9" s="4" t="s">
        <v>31</v>
      </c>
      <c r="E9" s="3" t="s">
        <v>26</v>
      </c>
      <c r="F9" s="2">
        <v>5</v>
      </c>
    </row>
    <row r="10" spans="1:6" ht="25.5">
      <c r="A10" s="1" t="s">
        <v>11</v>
      </c>
      <c r="B10" s="2">
        <v>128</v>
      </c>
      <c r="C10" s="2">
        <f t="shared" si="0"/>
        <v>7</v>
      </c>
      <c r="D10" s="4" t="s">
        <v>32</v>
      </c>
      <c r="E10" s="3" t="s">
        <v>25</v>
      </c>
      <c r="F10" s="2">
        <v>7</v>
      </c>
    </row>
    <row r="11" spans="1:6" ht="25.5">
      <c r="A11" s="1" t="s">
        <v>12</v>
      </c>
      <c r="B11" s="2">
        <v>128</v>
      </c>
      <c r="C11" s="2">
        <f t="shared" si="0"/>
        <v>7</v>
      </c>
      <c r="D11" s="4" t="s">
        <v>32</v>
      </c>
      <c r="E11" s="3" t="s">
        <v>24</v>
      </c>
      <c r="F11" s="2">
        <v>7</v>
      </c>
    </row>
    <row r="12" spans="1:6" ht="25.5">
      <c r="A12" s="1" t="s">
        <v>2</v>
      </c>
      <c r="B12" s="2">
        <v>384</v>
      </c>
      <c r="C12" s="2">
        <f t="shared" si="0"/>
        <v>22</v>
      </c>
      <c r="D12" s="4" t="s">
        <v>32</v>
      </c>
      <c r="E12" s="3" t="s">
        <v>23</v>
      </c>
      <c r="F12" s="2">
        <v>22</v>
      </c>
    </row>
    <row r="13" spans="1:6" ht="25.5">
      <c r="A13" s="1" t="s">
        <v>13</v>
      </c>
      <c r="B13" s="2">
        <v>384</v>
      </c>
      <c r="C13" s="2">
        <f t="shared" si="0"/>
        <v>22</v>
      </c>
      <c r="D13" s="4" t="s">
        <v>32</v>
      </c>
      <c r="E13" s="3" t="s">
        <v>22</v>
      </c>
      <c r="F13" s="2">
        <v>22</v>
      </c>
    </row>
    <row r="14" spans="1:6">
      <c r="A14" s="2"/>
      <c r="B14" s="2"/>
      <c r="C14" s="2"/>
      <c r="D14" s="2"/>
      <c r="E14" s="2"/>
      <c r="F14" s="2"/>
    </row>
    <row r="15" spans="1:6">
      <c r="A15" s="2"/>
      <c r="B15" s="2">
        <f>SUM(B2:B14)</f>
        <v>1872</v>
      </c>
      <c r="C15" s="2">
        <f>SUM(C2:C13)</f>
        <v>103</v>
      </c>
      <c r="D15" s="1" t="s">
        <v>30</v>
      </c>
      <c r="E15" s="2"/>
      <c r="F15" s="2">
        <f>SUM(F2:F13)</f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陈昕</dc:creator>
  <cp:lastModifiedBy>CHEN Xin</cp:lastModifiedBy>
  <dcterms:created xsi:type="dcterms:W3CDTF">2023-05-12T11:15:00Z</dcterms:created>
  <dcterms:modified xsi:type="dcterms:W3CDTF">2026-01-12T15:31:26Z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